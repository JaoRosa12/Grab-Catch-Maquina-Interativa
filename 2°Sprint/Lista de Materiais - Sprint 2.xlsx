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E025384A-AAE8-4D4E-A8E6-AB2BE1768CB1}" xr6:coauthVersionLast="36" xr6:coauthVersionMax="36" xr10:uidLastSave="{00000000-0000-0000-0000-000000000000}"/>
  <bookViews>
    <workbookView xWindow="0" yWindow="0" windowWidth="21600" windowHeight="9405" xr2:uid="{00000000-000D-0000-FFFF-FFFF00000000}"/>
  </bookViews>
  <sheets>
    <sheet name="Maquina de Ven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NnFiTmppQie9b0Ky5zIWGGWcQ88jiJIBXeDRyIyq1A="/>
    </ext>
  </extLst>
</workbook>
</file>

<file path=xl/calcChain.xml><?xml version="1.0" encoding="utf-8"?>
<calcChain xmlns="http://schemas.openxmlformats.org/spreadsheetml/2006/main">
  <c r="E12" i="1" l="1"/>
  <c r="E11" i="1" l="1"/>
  <c r="E9" i="1"/>
  <c r="E8" i="1"/>
  <c r="E5" i="1"/>
  <c r="E10" i="1"/>
  <c r="E7" i="1"/>
  <c r="E6" i="1"/>
  <c r="E4" i="1"/>
  <c r="B15" i="1" l="1"/>
</calcChain>
</file>

<file path=xl/sharedStrings.xml><?xml version="1.0" encoding="utf-8"?>
<sst xmlns="http://schemas.openxmlformats.org/spreadsheetml/2006/main" count="40" uniqueCount="34">
  <si>
    <t>Materiais</t>
  </si>
  <si>
    <t>Quantidade Necessária</t>
  </si>
  <si>
    <t>Tamanho</t>
  </si>
  <si>
    <t>Preço Unitário</t>
  </si>
  <si>
    <t>Preço Total</t>
  </si>
  <si>
    <t>Link</t>
  </si>
  <si>
    <t>-</t>
  </si>
  <si>
    <t>Total Estimado</t>
  </si>
  <si>
    <t>Arduino Uno</t>
  </si>
  <si>
    <t>Driver A4988</t>
  </si>
  <si>
    <t>Servomotor SG90</t>
  </si>
  <si>
    <t>Sensor IR</t>
  </si>
  <si>
    <t>Teclado matricial 4x4</t>
  </si>
  <si>
    <t>Estrutura (MDF/Acrílico)</t>
  </si>
  <si>
    <t>Driver Motor de Passo A4988 com Dissipador de Calorr</t>
  </si>
  <si>
    <t>15,3 mm × 20,3 mm</t>
  </si>
  <si>
    <t xml:space="preserve"> 23x12.1x21.4mm</t>
  </si>
  <si>
    <t>32mm x 14mm</t>
  </si>
  <si>
    <t>77 mm × 70 mm  × 0,8 mm</t>
  </si>
  <si>
    <t>Servomotor</t>
  </si>
  <si>
    <t>Teclado Matricial</t>
  </si>
  <si>
    <t>68,6 mm × 53,4 mm</t>
  </si>
  <si>
    <t>Arduino UNO</t>
  </si>
  <si>
    <t>Estimativa de Materiais - Maquinas Interativa</t>
  </si>
  <si>
    <t>Motor DC</t>
  </si>
  <si>
    <t>70 mm × 22 mm × 18 mm</t>
  </si>
  <si>
    <t xml:space="preserve">Tela Display TFT 2.4 </t>
  </si>
  <si>
    <t>71,5mm x 52mm.</t>
  </si>
  <si>
    <t>Arduino Mega</t>
  </si>
  <si>
    <t>53.36 × 101,86mm</t>
  </si>
  <si>
    <t>Tela Display TFT</t>
  </si>
  <si>
    <t>Ponte H L298N</t>
  </si>
  <si>
    <t>43x43x27mm</t>
  </si>
  <si>
    <t>https://www.eletrogate.com/ponte-h-dupla-l298n?srsltid=AfmBOooxFKuecVTfZwfIj0JnjiK-0DZSt2XCxmcY2mr0Rf7FqV_gvFyY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</si>
</sst>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21">
    <font>
      <sz val="11"/>
      <color theme="1"/>
      <name val="Aptos Narrow"/>
      <scheme val="minor"/>
    </font>
    <font>
      <b/>
      <sz val="11"/>
      <color theme="1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i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ptos Narrow"/>
      <scheme val="minor"/>
    </font>
    <font>
      <u/>
      <sz val="11"/>
      <color theme="10"/>
      <name val="Aptos Narrow"/>
      <scheme val="minor"/>
    </font>
    <font>
      <b/>
      <u/>
      <sz val="11"/>
      <color theme="1"/>
      <name val="Aptos Narrow"/>
    </font>
    <font>
      <u/>
      <sz val="11"/>
      <color theme="1"/>
      <name val="Aptos Narrow"/>
      <scheme val="minor"/>
    </font>
    <font>
      <b/>
      <sz val="20"/>
      <color theme="0"/>
      <name val="Aptos Narrow"/>
    </font>
    <font>
      <sz val="16"/>
      <color theme="1"/>
      <name val="Aptos Narrow"/>
    </font>
    <font>
      <u/>
      <sz val="16"/>
      <color theme="10"/>
      <name val="Aptos Narrow"/>
    </font>
    <font>
      <u/>
      <sz val="16"/>
      <color theme="10"/>
      <name val="Aptos Narrow"/>
      <scheme val="minor"/>
    </font>
    <font>
      <sz val="16"/>
      <color theme="1"/>
      <name val="Aptos Narrow"/>
      <scheme val="minor"/>
    </font>
    <font>
      <u/>
      <sz val="16"/>
      <color theme="1"/>
      <name val="Aptos Narrow"/>
    </font>
    <font>
      <b/>
      <i/>
      <sz val="20"/>
      <color theme="0"/>
      <name val="Aptos Narrow"/>
    </font>
    <font>
      <i/>
      <sz val="18"/>
      <color theme="1"/>
      <name val="Aptos Narrow"/>
    </font>
    <font>
      <b/>
      <sz val="12"/>
      <color theme="0"/>
      <name val="Aptos Narrow"/>
    </font>
    <font>
      <u/>
      <sz val="16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45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/>
    <xf numFmtId="0" fontId="0" fillId="0" borderId="0" xfId="0" applyFont="1"/>
    <xf numFmtId="0" fontId="9" fillId="0" borderId="0" xfId="0" applyFont="1"/>
    <xf numFmtId="0" fontId="7" fillId="0" borderId="0" xfId="0" applyFont="1" applyAlignment="1"/>
    <xf numFmtId="0" fontId="10" fillId="0" borderId="0" xfId="0" applyFont="1" applyAlignment="1"/>
    <xf numFmtId="0" fontId="0" fillId="0" borderId="1" xfId="0" applyFont="1" applyBorder="1" applyAlignment="1"/>
    <xf numFmtId="0" fontId="0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44" fontId="12" fillId="0" borderId="2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44" fontId="15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" fillId="0" borderId="1" xfId="0" applyFont="1" applyFill="1" applyBorder="1"/>
    <xf numFmtId="0" fontId="17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4" fontId="18" fillId="0" borderId="2" xfId="0" applyNumberFormat="1" applyFont="1" applyBorder="1"/>
    <xf numFmtId="44" fontId="15" fillId="0" borderId="1" xfId="0" applyNumberFormat="1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0" borderId="3" xfId="1" applyFont="1" applyBorder="1" applyAlignment="1">
      <alignment horizontal="center" vertical="center" wrapText="1"/>
    </xf>
    <xf numFmtId="8" fontId="15" fillId="0" borderId="2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44" fontId="12" fillId="0" borderId="5" xfId="0" applyNumberFormat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44" fontId="15" fillId="0" borderId="10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20" fillId="0" borderId="8" xfId="1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8" fontId="15" fillId="0" borderId="13" xfId="0" applyNumberFormat="1" applyFont="1" applyBorder="1" applyAlignment="1">
      <alignment horizontal="center" vertical="center"/>
    </xf>
    <xf numFmtId="44" fontId="15" fillId="0" borderId="13" xfId="0" applyNumberFormat="1" applyFont="1" applyBorder="1" applyAlignment="1">
      <alignment horizontal="center" vertical="center"/>
    </xf>
    <xf numFmtId="0" fontId="20" fillId="0" borderId="14" xfId="1" applyFont="1" applyBorder="1" applyAlignment="1">
      <alignment horizontal="center" vertical="center" wrapText="1"/>
    </xf>
  </cellXfs>
  <cellStyles count="3">
    <cellStyle name="Hiperlink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letrogate.com/sensor-de-obstaculo-reflexivo-infravermelho" TargetMode="External"/><Relationship Id="rId2" Type="http://schemas.openxmlformats.org/officeDocument/2006/relationships/hyperlink" Target="https://www.robocore.net/servo-motor/micro-servo-9g-sg90-towerpro" TargetMode="External"/><Relationship Id="rId1" Type="http://schemas.openxmlformats.org/officeDocument/2006/relationships/hyperlink" Target="https://www.robocore.net/botao-chave/teclado-matricial-de-membrana-16-tecla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eletrogate.com/uno-r3-cabo-usb-para-arduino" TargetMode="External"/><Relationship Id="rId4" Type="http://schemas.openxmlformats.org/officeDocument/2006/relationships/hyperlink" Target="https://www.eletrogate.com/driver-motor-de-passo-a4988-c-dissipador-de-cal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0"/>
  <sheetViews>
    <sheetView showGridLines="0" tabSelected="1" zoomScale="70" zoomScaleNormal="70" workbookViewId="0">
      <selection activeCell="F25" sqref="F25"/>
    </sheetView>
  </sheetViews>
  <sheetFormatPr defaultColWidth="12.625" defaultRowHeight="15" customHeight="1"/>
  <cols>
    <col min="1" max="1" width="86.625" bestFit="1" customWidth="1"/>
    <col min="2" max="2" width="23.375" customWidth="1"/>
    <col min="3" max="3" width="43.625" bestFit="1" customWidth="1"/>
    <col min="4" max="4" width="16.25" customWidth="1"/>
    <col min="5" max="5" width="14.625" customWidth="1"/>
    <col min="6" max="6" width="34.625" customWidth="1"/>
    <col min="7" max="25" width="8.625" customWidth="1"/>
  </cols>
  <sheetData>
    <row r="1" spans="1:7" ht="14.25" customHeight="1">
      <c r="A1" s="38" t="s">
        <v>23</v>
      </c>
      <c r="B1" s="38"/>
      <c r="C1" s="38"/>
      <c r="D1" s="38"/>
      <c r="E1" s="38"/>
      <c r="F1" s="38"/>
    </row>
    <row r="2" spans="1:7" ht="14.25" customHeight="1">
      <c r="A2" s="38"/>
      <c r="B2" s="38"/>
      <c r="C2" s="38"/>
      <c r="D2" s="38"/>
      <c r="E2" s="38"/>
      <c r="F2" s="38"/>
    </row>
    <row r="3" spans="1:7" ht="14.25" customHeight="1">
      <c r="A3" s="25" t="s">
        <v>0</v>
      </c>
      <c r="B3" s="25" t="s">
        <v>1</v>
      </c>
      <c r="C3" s="25" t="s">
        <v>2</v>
      </c>
      <c r="D3" s="25" t="s">
        <v>3</v>
      </c>
      <c r="E3" s="25" t="s">
        <v>4</v>
      </c>
      <c r="F3" s="25" t="s">
        <v>5</v>
      </c>
    </row>
    <row r="4" spans="1:7" ht="20.25">
      <c r="A4" s="28" t="s">
        <v>8</v>
      </c>
      <c r="B4" s="29">
        <v>1</v>
      </c>
      <c r="C4" s="29" t="s">
        <v>21</v>
      </c>
      <c r="D4" s="30">
        <v>49.9</v>
      </c>
      <c r="E4" s="30">
        <f>D4*B4</f>
        <v>49.9</v>
      </c>
      <c r="F4" s="31" t="s">
        <v>22</v>
      </c>
      <c r="G4" s="11"/>
    </row>
    <row r="5" spans="1:7" ht="20.25">
      <c r="A5" s="32" t="s">
        <v>24</v>
      </c>
      <c r="B5" s="17">
        <v>4</v>
      </c>
      <c r="C5" s="15" t="s">
        <v>25</v>
      </c>
      <c r="D5" s="18">
        <v>7.9</v>
      </c>
      <c r="E5" s="18">
        <f>D5*B5</f>
        <v>31.6</v>
      </c>
      <c r="F5" s="26" t="s">
        <v>24</v>
      </c>
      <c r="G5" s="11"/>
    </row>
    <row r="6" spans="1:7" ht="56.25" customHeight="1">
      <c r="A6" s="32" t="s">
        <v>9</v>
      </c>
      <c r="B6" s="17">
        <v>2</v>
      </c>
      <c r="C6" s="17" t="s">
        <v>15</v>
      </c>
      <c r="D6" s="18">
        <v>16.899999999999999</v>
      </c>
      <c r="E6" s="18">
        <f>D6*B6</f>
        <v>33.799999999999997</v>
      </c>
      <c r="F6" s="26" t="s">
        <v>14</v>
      </c>
      <c r="G6" s="11"/>
    </row>
    <row r="7" spans="1:7" ht="27" customHeight="1">
      <c r="A7" s="32" t="s">
        <v>10</v>
      </c>
      <c r="B7" s="15">
        <v>2</v>
      </c>
      <c r="C7" s="17" t="s">
        <v>16</v>
      </c>
      <c r="D7" s="16">
        <v>12.5</v>
      </c>
      <c r="E7" s="16">
        <f>D7*B7</f>
        <v>25</v>
      </c>
      <c r="F7" s="26" t="s">
        <v>19</v>
      </c>
      <c r="G7" s="11"/>
    </row>
    <row r="8" spans="1:7" ht="27" customHeight="1">
      <c r="A8" s="32" t="s">
        <v>26</v>
      </c>
      <c r="B8" s="19">
        <v>1</v>
      </c>
      <c r="C8" s="15" t="s">
        <v>27</v>
      </c>
      <c r="D8" s="16">
        <v>59.9</v>
      </c>
      <c r="E8" s="16">
        <f>B8*D8</f>
        <v>59.9</v>
      </c>
      <c r="F8" s="37" t="s">
        <v>30</v>
      </c>
      <c r="G8" s="11"/>
    </row>
    <row r="9" spans="1:7" ht="20.25">
      <c r="A9" s="32" t="s">
        <v>11</v>
      </c>
      <c r="B9" s="15">
        <v>2</v>
      </c>
      <c r="C9" s="15" t="s">
        <v>17</v>
      </c>
      <c r="D9" s="16">
        <v>6.9</v>
      </c>
      <c r="E9" s="16">
        <f>D9*B9</f>
        <v>13.8</v>
      </c>
      <c r="F9" s="26" t="s">
        <v>11</v>
      </c>
      <c r="G9" s="11"/>
    </row>
    <row r="10" spans="1:7" ht="20.25">
      <c r="A10" s="32" t="s">
        <v>12</v>
      </c>
      <c r="B10" s="15">
        <v>1</v>
      </c>
      <c r="C10" s="15" t="s">
        <v>18</v>
      </c>
      <c r="D10" s="18">
        <v>6.5</v>
      </c>
      <c r="E10" s="18">
        <f>D10*B10</f>
        <v>6.5</v>
      </c>
      <c r="F10" s="26" t="s">
        <v>20</v>
      </c>
      <c r="G10" s="11"/>
    </row>
    <row r="11" spans="1:7" ht="20.25">
      <c r="A11" s="32" t="s">
        <v>28</v>
      </c>
      <c r="B11" s="15">
        <v>1</v>
      </c>
      <c r="C11" s="15" t="s">
        <v>29</v>
      </c>
      <c r="D11" s="27">
        <v>189.9</v>
      </c>
      <c r="E11" s="18">
        <f>B11*D11</f>
        <v>189.9</v>
      </c>
      <c r="F11" s="26" t="s">
        <v>28</v>
      </c>
      <c r="G11" s="11"/>
    </row>
    <row r="12" spans="1:7" ht="20.25">
      <c r="A12" s="40" t="s">
        <v>31</v>
      </c>
      <c r="B12" s="41">
        <v>2</v>
      </c>
      <c r="C12" s="41" t="s">
        <v>32</v>
      </c>
      <c r="D12" s="42">
        <v>18.899999999999999</v>
      </c>
      <c r="E12" s="43">
        <f>D12*B12</f>
        <v>37.799999999999997</v>
      </c>
      <c r="F12" s="44" t="s">
        <v>33</v>
      </c>
      <c r="G12" s="11"/>
    </row>
    <row r="13" spans="1:7" ht="20.25">
      <c r="A13" s="33" t="s">
        <v>13</v>
      </c>
      <c r="B13" s="34">
        <v>1</v>
      </c>
      <c r="C13" s="34" t="s">
        <v>6</v>
      </c>
      <c r="D13" s="35" t="s">
        <v>6</v>
      </c>
      <c r="E13" s="35" t="s">
        <v>6</v>
      </c>
      <c r="F13" s="36" t="s">
        <v>6</v>
      </c>
      <c r="G13" s="11"/>
    </row>
    <row r="14" spans="1:7" ht="27" customHeight="1">
      <c r="A14" s="39"/>
      <c r="B14" s="12"/>
      <c r="C14" s="13"/>
      <c r="D14" s="13"/>
      <c r="E14" s="24"/>
      <c r="F14" s="14"/>
    </row>
    <row r="15" spans="1:7" ht="25.5">
      <c r="A15" s="21" t="s">
        <v>7</v>
      </c>
      <c r="B15" s="23">
        <f>SUM(E4:E13)</f>
        <v>448.20000000000005</v>
      </c>
      <c r="C15" s="11"/>
      <c r="D15" s="11"/>
      <c r="E15" s="11"/>
      <c r="F15" s="11"/>
    </row>
    <row r="16" spans="1:7" ht="14.25" customHeight="1">
      <c r="A16" s="1"/>
      <c r="B16" s="22"/>
      <c r="C16" s="1"/>
      <c r="D16" s="11"/>
      <c r="E16" s="11"/>
      <c r="F16" s="11"/>
    </row>
    <row r="17" spans="1:25" ht="14.25" customHeight="1">
      <c r="A17" s="3"/>
      <c r="B17" s="3"/>
      <c r="C17" s="8"/>
      <c r="E17" s="11"/>
      <c r="F17" s="11"/>
    </row>
    <row r="18" spans="1:25" ht="14.25" customHeight="1">
      <c r="A18" s="2"/>
      <c r="B18" s="2"/>
      <c r="C18" s="2"/>
      <c r="D18" s="2"/>
      <c r="E18" s="2"/>
      <c r="F18" s="2"/>
    </row>
    <row r="19" spans="1:25" ht="14.25" customHeight="1">
      <c r="A19" s="20"/>
      <c r="B19" s="20"/>
      <c r="C19" s="20"/>
      <c r="D19" s="20"/>
      <c r="E19" s="20"/>
      <c r="F19" s="20"/>
    </row>
    <row r="20" spans="1:25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>
      <c r="A21" s="4"/>
      <c r="B21" s="4"/>
      <c r="C21" s="5"/>
      <c r="D21" s="6"/>
    </row>
    <row r="22" spans="1:25" ht="14.25" customHeight="1">
      <c r="A22" s="6"/>
      <c r="B22" s="6"/>
      <c r="C22" s="5"/>
      <c r="D22" s="6"/>
    </row>
    <row r="23" spans="1:25" ht="14.25" customHeight="1">
      <c r="A23" s="7"/>
      <c r="B23" s="7"/>
      <c r="C23" s="5"/>
      <c r="D23" s="6"/>
    </row>
    <row r="24" spans="1:25" ht="14.25" customHeight="1">
      <c r="A24" s="7"/>
      <c r="B24" s="7"/>
      <c r="C24" s="5"/>
      <c r="D24" s="6"/>
    </row>
    <row r="25" spans="1:25" ht="14.25" customHeight="1">
      <c r="A25" s="7"/>
      <c r="B25" s="7"/>
      <c r="C25" s="5"/>
      <c r="D25" s="6"/>
    </row>
    <row r="26" spans="1:25" ht="14.25" customHeight="1">
      <c r="C26" s="5"/>
      <c r="D26" s="6"/>
    </row>
    <row r="27" spans="1:25" ht="14.25" customHeight="1">
      <c r="C27" s="5"/>
      <c r="D27" s="6"/>
    </row>
    <row r="28" spans="1:25" ht="14.25" customHeight="1">
      <c r="A28" s="7"/>
      <c r="B28" s="7"/>
    </row>
    <row r="29" spans="1:25" ht="14.25" customHeight="1">
      <c r="A29" s="5"/>
      <c r="B29" s="5"/>
      <c r="C29" s="10"/>
    </row>
    <row r="30" spans="1:25" ht="14.25" customHeight="1"/>
    <row r="31" spans="1:25" ht="14.25" customHeight="1"/>
    <row r="32" spans="1:25" ht="14.25" customHeight="1">
      <c r="A32" s="5"/>
      <c r="B32" s="5"/>
    </row>
    <row r="33" spans="1:4" ht="14.25" customHeight="1">
      <c r="A33" s="9"/>
      <c r="B33" s="9"/>
      <c r="D33" s="6"/>
    </row>
    <row r="34" spans="1:4" ht="14.25" customHeight="1"/>
    <row r="35" spans="1:4" ht="14.25" customHeight="1"/>
    <row r="36" spans="1:4" ht="14.25" customHeight="1"/>
    <row r="37" spans="1:4" ht="14.25" customHeight="1"/>
    <row r="38" spans="1:4" ht="14.25" customHeight="1"/>
    <row r="39" spans="1:4" ht="14.25" customHeight="1"/>
    <row r="40" spans="1:4" ht="14.25" customHeight="1"/>
    <row r="41" spans="1:4" ht="14.25" customHeight="1"/>
    <row r="42" spans="1:4" ht="14.25" customHeight="1"/>
    <row r="43" spans="1:4" ht="14.25" customHeight="1"/>
    <row r="44" spans="1:4" ht="14.25" customHeight="1"/>
    <row r="45" spans="1:4" ht="14.25" customHeight="1"/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</sheetData>
  <mergeCells count="1">
    <mergeCell ref="A1:F2"/>
  </mergeCells>
  <hyperlinks>
    <hyperlink ref="F10" r:id="rId1" display="Filamento Pla" xr:uid="{76592CA9-3685-47BD-BB11-88C8DCD70B7E}"/>
    <hyperlink ref="F7" r:id="rId2" display="ESP 32 - Robocore" xr:uid="{90C2310C-3EF8-4DB2-A6D6-0AE9AE6EDE22}"/>
    <hyperlink ref="F9" r:id="rId3" display="Espetos - Mercado livre" xr:uid="{FE74E29F-2B26-4A5B-BD89-9BFC2A031922}"/>
    <hyperlink ref="F6" r:id="rId4" xr:uid="{1FDB23AF-DF19-430E-BAD6-58C5BBDB4583}"/>
    <hyperlink ref="F4" r:id="rId5" display="https://www.eletrogate.com/uno-r3-cabo-usb-para-arduino " xr:uid="{BA2CBD61-8BEE-4F06-9EAE-29B5F2E00E04}"/>
  </hyperlinks>
  <pageMargins left="0.511811024" right="0.511811024" top="0.78740157499999996" bottom="0.78740157499999996" header="0" footer="0"/>
  <pageSetup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Maquina de Vendas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ELISANGELA FERRAZ DE CAMPOS</dc:creator>
  <cp:keywords/>
  <dc:description/>
  <cp:lastModifiedBy>Fatec</cp:lastModifiedBy>
  <cp:revision/>
  <dcterms:created xsi:type="dcterms:W3CDTF">2025-03-20T19:27:56Z</dcterms:created>
  <dcterms:modified xsi:type="dcterms:W3CDTF">2025-10-08T23:00:44Z</dcterms:modified>
  <cp:category/>
  <cp:contentStatus/>
</cp:coreProperties>
</file>